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EE409\"/>
    </mc:Choice>
  </mc:AlternateContent>
  <xr:revisionPtr revIDLastSave="0" documentId="13_ncr:1_{12BAD39D-5675-427F-9247-AFD299894119}" xr6:coauthVersionLast="47" xr6:coauthVersionMax="47" xr10:uidLastSave="{00000000-0000-0000-0000-000000000000}"/>
  <bookViews>
    <workbookView xWindow="-108" yWindow="-108" windowWidth="23256" windowHeight="12456" xr2:uid="{9885EDC9-C6ED-49C9-8434-5BEFCD346F85}"/>
  </bookViews>
  <sheets>
    <sheet name="predict_result" sheetId="7" r:id="rId1"/>
    <sheet name="650610196" sheetId="1" r:id="rId2"/>
    <sheet name="650610202" sheetId="3" r:id="rId3"/>
    <sheet name="650610240" sheetId="4" r:id="rId4"/>
    <sheet name="6506102121" sheetId="5" r:id="rId5"/>
    <sheet name="650610212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7" l="1"/>
  <c r="G3" i="7"/>
  <c r="G4" i="7"/>
  <c r="G5" i="7"/>
  <c r="G6" i="7"/>
  <c r="G7" i="7"/>
  <c r="G8" i="7"/>
  <c r="G9" i="7"/>
  <c r="G10" i="7"/>
  <c r="G11" i="7"/>
  <c r="G12" i="7"/>
  <c r="G13" i="7"/>
  <c r="D14" i="1"/>
  <c r="C13" i="6"/>
  <c r="D13" i="6" s="1"/>
  <c r="C12" i="6"/>
  <c r="D12" i="6" s="1"/>
  <c r="C11" i="6"/>
  <c r="D11" i="6" s="1"/>
  <c r="C10" i="6"/>
  <c r="D10" i="6" s="1"/>
  <c r="D9" i="6"/>
  <c r="C9" i="6"/>
  <c r="D8" i="6"/>
  <c r="C8" i="6"/>
  <c r="C7" i="6"/>
  <c r="D7" i="6" s="1"/>
  <c r="C6" i="6"/>
  <c r="D6" i="6" s="1"/>
  <c r="C5" i="6"/>
  <c r="D5" i="6" s="1"/>
  <c r="D4" i="6"/>
  <c r="C4" i="6"/>
  <c r="D3" i="6"/>
  <c r="C3" i="6"/>
  <c r="D2" i="6"/>
  <c r="C2" i="6"/>
  <c r="C13" i="5"/>
  <c r="D13" i="5" s="1"/>
  <c r="C12" i="5"/>
  <c r="D12" i="5" s="1"/>
  <c r="C11" i="5"/>
  <c r="D11" i="5" s="1"/>
  <c r="C10" i="5"/>
  <c r="D10" i="5" s="1"/>
  <c r="C9" i="5"/>
  <c r="D9" i="5" s="1"/>
  <c r="C8" i="5"/>
  <c r="D8" i="5" s="1"/>
  <c r="C7" i="5"/>
  <c r="D7" i="5" s="1"/>
  <c r="C6" i="5"/>
  <c r="D6" i="5" s="1"/>
  <c r="C5" i="5"/>
  <c r="D5" i="5" s="1"/>
  <c r="C4" i="5"/>
  <c r="D4" i="5" s="1"/>
  <c r="C3" i="5"/>
  <c r="D3" i="5" s="1"/>
  <c r="C2" i="5"/>
  <c r="D2" i="5" s="1"/>
  <c r="C13" i="4"/>
  <c r="D13" i="4" s="1"/>
  <c r="C12" i="4"/>
  <c r="D12" i="4" s="1"/>
  <c r="D11" i="4"/>
  <c r="C11" i="4"/>
  <c r="C10" i="4"/>
  <c r="D10" i="4" s="1"/>
  <c r="C9" i="4"/>
  <c r="D9" i="4" s="1"/>
  <c r="C8" i="4"/>
  <c r="D8" i="4" s="1"/>
  <c r="D7" i="4"/>
  <c r="C7" i="4"/>
  <c r="C6" i="4"/>
  <c r="D6" i="4" s="1"/>
  <c r="C5" i="4"/>
  <c r="D5" i="4" s="1"/>
  <c r="C4" i="4"/>
  <c r="D4" i="4" s="1"/>
  <c r="C3" i="4"/>
  <c r="D3" i="4" s="1"/>
  <c r="C2" i="4"/>
  <c r="D2" i="4" s="1"/>
  <c r="C13" i="3"/>
  <c r="D13" i="3" s="1"/>
  <c r="C12" i="3"/>
  <c r="D12" i="3" s="1"/>
  <c r="C11" i="3"/>
  <c r="D11" i="3" s="1"/>
  <c r="C10" i="3"/>
  <c r="D10" i="3" s="1"/>
  <c r="C9" i="3"/>
  <c r="D9" i="3" s="1"/>
  <c r="C8" i="3"/>
  <c r="D8" i="3" s="1"/>
  <c r="C7" i="3"/>
  <c r="D7" i="3" s="1"/>
  <c r="C6" i="3"/>
  <c r="D6" i="3" s="1"/>
  <c r="C5" i="3"/>
  <c r="D5" i="3" s="1"/>
  <c r="C4" i="3"/>
  <c r="D4" i="3" s="1"/>
  <c r="C3" i="3"/>
  <c r="D3" i="3" s="1"/>
  <c r="C2" i="3"/>
  <c r="D2" i="3" s="1"/>
  <c r="D3" i="1"/>
  <c r="D4" i="1"/>
  <c r="D5" i="1"/>
  <c r="D6" i="1"/>
  <c r="D7" i="1"/>
  <c r="D8" i="1"/>
  <c r="D9" i="1"/>
  <c r="D10" i="1"/>
  <c r="D11" i="1"/>
  <c r="D12" i="1"/>
  <c r="D13" i="1"/>
  <c r="D2" i="1"/>
  <c r="C3" i="1"/>
  <c r="C4" i="1"/>
  <c r="C5" i="1"/>
  <c r="C6" i="1"/>
  <c r="C7" i="1"/>
  <c r="C8" i="1"/>
  <c r="C9" i="1"/>
  <c r="C10" i="1"/>
  <c r="C11" i="1"/>
  <c r="C12" i="1"/>
  <c r="C13" i="1"/>
  <c r="C2" i="1"/>
  <c r="D14" i="6" l="1"/>
  <c r="D14" i="5"/>
  <c r="D14" i="4"/>
  <c r="D14" i="3"/>
</calcChain>
</file>

<file path=xl/sharedStrings.xml><?xml version="1.0" encoding="utf-8"?>
<sst xmlns="http://schemas.openxmlformats.org/spreadsheetml/2006/main" count="27" uniqueCount="7">
  <si>
    <t>Actual</t>
  </si>
  <si>
    <t>Predicted</t>
  </si>
  <si>
    <t>APE%</t>
  </si>
  <si>
    <t>AE</t>
  </si>
  <si>
    <t>MAPE</t>
  </si>
  <si>
    <t>Hour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</si>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</sst>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4" x14ac:knownFonts="1">
    <font>
      <sz val="11"/>
      <color theme="1"/>
      <name val="Aptos Narrow"/>
      <family val="2"/>
      <charset val="222"/>
      <scheme val="minor"/>
    </font>
    <font>
      <sz val="14"/>
      <color theme="1"/>
      <name val="TH SarabunPSK"/>
      <family val="2"/>
    </font>
    <font>
      <b/>
      <sz val="14"/>
      <color theme="1"/>
      <name val="TH SarabunPSK"/>
      <family val="2"/>
    </font>
    <font>
      <sz val="14"/>
      <color rgb="FFFF0000"/>
      <name val="TH SarabunPSK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  <xf numFmtId="2" fontId="1" fillId="0" borderId="7" xfId="0" applyNumberFormat="1" applyFont="1" applyBorder="1" applyAlignment="1">
      <alignment horizontal="center" vertical="center"/>
    </xf>
    <xf numFmtId="2" fontId="1" fillId="0" borderId="9" xfId="0" applyNumberFormat="1" applyFont="1" applyBorder="1" applyAlignment="1">
      <alignment horizontal="center" vertical="center"/>
    </xf>
    <xf numFmtId="165" fontId="0" fillId="0" borderId="0" xfId="0" applyNumberFormat="1"/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20" fontId="1" fillId="0" borderId="2" xfId="0" applyNumberFormat="1" applyFont="1" applyBorder="1" applyAlignment="1">
      <alignment horizontal="center"/>
    </xf>
    <xf numFmtId="20" fontId="1" fillId="0" borderId="3" xfId="0" applyNumberFormat="1" applyFont="1" applyBorder="1" applyAlignment="1">
      <alignment horizontal="center"/>
    </xf>
    <xf numFmtId="20" fontId="1" fillId="0" borderId="4" xfId="0" applyNumberFormat="1" applyFont="1" applyBorder="1" applyAlignment="1">
      <alignment horizontal="center"/>
    </xf>
    <xf numFmtId="2" fontId="1" fillId="0" borderId="2" xfId="0" applyNumberFormat="1" applyFont="1" applyBorder="1"/>
    <xf numFmtId="2" fontId="1" fillId="0" borderId="3" xfId="0" applyNumberFormat="1" applyFont="1" applyBorder="1"/>
    <xf numFmtId="2" fontId="1" fillId="0" borderId="4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7A199-ADF1-4CA7-9657-DBAA03B0960C}">
  <dimension ref="A1:G13"/>
  <sheetViews>
    <sheetView tabSelected="1" workbookViewId="0">
      <selection activeCell="B2" sqref="B2:G13"/>
    </sheetView>
  </sheetViews>
  <sheetFormatPr defaultRowHeight="16.8" x14ac:dyDescent="0.4"/>
  <cols>
    <col min="2" max="2" width="10.59765625" customWidth="1"/>
    <col min="3" max="3" width="11" customWidth="1"/>
    <col min="4" max="4" width="10.19921875" customWidth="1"/>
    <col min="5" max="5" width="9.8984375" customWidth="1"/>
    <col min="6" max="6" width="10.296875" customWidth="1"/>
  </cols>
  <sheetData>
    <row r="1" spans="1:7" ht="24.6" customHeight="1" x14ac:dyDescent="0.4">
      <c r="A1" s="1" t="s">
        <v>5</v>
      </c>
      <c r="B1" s="1">
        <v>650610196</v>
      </c>
      <c r="C1" s="1">
        <v>650610202</v>
      </c>
      <c r="D1" s="1">
        <v>650610240</v>
      </c>
      <c r="E1" s="1">
        <v>650612121</v>
      </c>
      <c r="F1" s="1">
        <v>650612126</v>
      </c>
      <c r="G1" s="1" t="s">
        <v>6</v>
      </c>
    </row>
    <row r="2" spans="1:7" ht="18.600000000000001" x14ac:dyDescent="0.4">
      <c r="A2" s="17">
        <v>0</v>
      </c>
      <c r="B2" s="20">
        <v>9668.08</v>
      </c>
      <c r="C2" s="20">
        <v>9718.4069999999992</v>
      </c>
      <c r="D2" s="20">
        <v>9517.5490000000009</v>
      </c>
      <c r="E2" s="20">
        <v>9249.2019999999993</v>
      </c>
      <c r="F2" s="20">
        <v>9526.3050000000003</v>
      </c>
      <c r="G2" s="20">
        <f>AVERAGE(B2:F2)</f>
        <v>9535.9085999999988</v>
      </c>
    </row>
    <row r="3" spans="1:7" ht="18.600000000000001" x14ac:dyDescent="0.4">
      <c r="A3" s="18">
        <v>4.1666666666666664E-2</v>
      </c>
      <c r="B3" s="21">
        <v>9423.2970000000005</v>
      </c>
      <c r="C3" s="21">
        <v>9721.1869999999999</v>
      </c>
      <c r="D3" s="21">
        <v>9648.6560000000009</v>
      </c>
      <c r="E3" s="21">
        <v>9585.5020000000004</v>
      </c>
      <c r="F3" s="21">
        <v>9542.1560000000009</v>
      </c>
      <c r="G3" s="20">
        <f t="shared" ref="G3:G13" si="0">AVERAGE(B3:F3)</f>
        <v>9584.1596000000009</v>
      </c>
    </row>
    <row r="4" spans="1:7" ht="18.600000000000001" x14ac:dyDescent="0.4">
      <c r="A4" s="18">
        <v>8.3333333333333329E-2</v>
      </c>
      <c r="B4" s="21">
        <v>9791.7430000000004</v>
      </c>
      <c r="C4" s="21">
        <v>9703.7489999999998</v>
      </c>
      <c r="D4" s="21">
        <v>9660.2549999999992</v>
      </c>
      <c r="E4" s="21">
        <v>9504.3125</v>
      </c>
      <c r="F4" s="21">
        <v>9148.8119999999999</v>
      </c>
      <c r="G4" s="20">
        <f t="shared" si="0"/>
        <v>9561.7742999999991</v>
      </c>
    </row>
    <row r="5" spans="1:7" ht="18.600000000000001" x14ac:dyDescent="0.4">
      <c r="A5" s="18">
        <v>0.125</v>
      </c>
      <c r="B5" s="21">
        <v>9604.6880000000001</v>
      </c>
      <c r="C5" s="21">
        <v>9632.3140000000003</v>
      </c>
      <c r="D5" s="21">
        <v>9233.4650000000001</v>
      </c>
      <c r="E5" s="21">
        <v>9328.5810000000001</v>
      </c>
      <c r="F5" s="21">
        <v>9207.4930000000004</v>
      </c>
      <c r="G5" s="20">
        <f t="shared" si="0"/>
        <v>9401.3082000000013</v>
      </c>
    </row>
    <row r="6" spans="1:7" ht="18.600000000000001" x14ac:dyDescent="0.4">
      <c r="A6" s="18">
        <v>0.16666666666666666</v>
      </c>
      <c r="B6" s="21">
        <v>9565.67</v>
      </c>
      <c r="C6" s="21">
        <v>9546.7990000000009</v>
      </c>
      <c r="D6" s="21">
        <v>9217.5789999999997</v>
      </c>
      <c r="E6" s="21">
        <v>9207.5679999999993</v>
      </c>
      <c r="F6" s="21">
        <v>9145.0370000000003</v>
      </c>
      <c r="G6" s="20">
        <f t="shared" si="0"/>
        <v>9336.5306000000019</v>
      </c>
    </row>
    <row r="7" spans="1:7" ht="18.600000000000001" x14ac:dyDescent="0.4">
      <c r="A7" s="18">
        <v>0.20833333333333334</v>
      </c>
      <c r="B7" s="21">
        <v>9328.5450000000001</v>
      </c>
      <c r="C7" s="21">
        <v>9465.2080000000005</v>
      </c>
      <c r="D7" s="21">
        <v>9346.2530000000006</v>
      </c>
      <c r="E7" s="21">
        <v>9056.4609999999993</v>
      </c>
      <c r="F7" s="21">
        <v>8975.9920000000002</v>
      </c>
      <c r="G7" s="20">
        <f t="shared" si="0"/>
        <v>9234.4917999999998</v>
      </c>
    </row>
    <row r="8" spans="1:7" ht="18.600000000000001" x14ac:dyDescent="0.4">
      <c r="A8" s="18">
        <v>0.25</v>
      </c>
      <c r="B8" s="21">
        <v>9274.7890000000007</v>
      </c>
      <c r="C8" s="21">
        <v>9542.2469999999994</v>
      </c>
      <c r="D8" s="21">
        <v>9132.2279999999992</v>
      </c>
      <c r="E8" s="21">
        <v>9024.0239999999994</v>
      </c>
      <c r="F8" s="21">
        <v>8735.8719999999994</v>
      </c>
      <c r="G8" s="20">
        <f t="shared" si="0"/>
        <v>9141.8320000000003</v>
      </c>
    </row>
    <row r="9" spans="1:7" ht="18.600000000000001" x14ac:dyDescent="0.4">
      <c r="A9" s="18">
        <v>0.29166666666666669</v>
      </c>
      <c r="B9" s="21">
        <v>9271.4699999999993</v>
      </c>
      <c r="C9" s="21">
        <v>9555.31</v>
      </c>
      <c r="D9" s="21">
        <v>9201.23</v>
      </c>
      <c r="E9" s="21">
        <v>8858.16</v>
      </c>
      <c r="F9" s="21">
        <v>9028.643</v>
      </c>
      <c r="G9" s="20">
        <f t="shared" si="0"/>
        <v>9182.9625999999989</v>
      </c>
    </row>
    <row r="10" spans="1:7" ht="18.600000000000001" x14ac:dyDescent="0.4">
      <c r="A10" s="18">
        <v>0.33333333333333331</v>
      </c>
      <c r="B10" s="21">
        <v>9319.77</v>
      </c>
      <c r="C10" s="21">
        <v>9726.9940000000006</v>
      </c>
      <c r="D10" s="21">
        <v>9153.8029999999999</v>
      </c>
      <c r="E10" s="21">
        <v>9111.6939999999995</v>
      </c>
      <c r="F10" s="21">
        <v>8766.2430000000004</v>
      </c>
      <c r="G10" s="20">
        <f t="shared" si="0"/>
        <v>9215.7008000000005</v>
      </c>
    </row>
    <row r="11" spans="1:7" ht="18.600000000000001" x14ac:dyDescent="0.4">
      <c r="A11" s="18">
        <v>0.375</v>
      </c>
      <c r="B11" s="21">
        <v>9376.35</v>
      </c>
      <c r="C11" s="21">
        <v>9816.4459999999999</v>
      </c>
      <c r="D11" s="21">
        <v>9185.6</v>
      </c>
      <c r="E11" s="21">
        <v>9128.4419999999991</v>
      </c>
      <c r="F11" s="21">
        <v>9104.348</v>
      </c>
      <c r="G11" s="20">
        <f t="shared" si="0"/>
        <v>9322.2371999999996</v>
      </c>
    </row>
    <row r="12" spans="1:7" ht="18.600000000000001" x14ac:dyDescent="0.4">
      <c r="A12" s="18">
        <v>0.41666666666666669</v>
      </c>
      <c r="B12" s="21">
        <v>9372.6129999999994</v>
      </c>
      <c r="C12" s="21">
        <v>9653.1890000000003</v>
      </c>
      <c r="D12" s="21">
        <v>9244.5149999999994</v>
      </c>
      <c r="E12" s="21">
        <v>9150.3770000000004</v>
      </c>
      <c r="F12" s="21">
        <v>8832.2999999999993</v>
      </c>
      <c r="G12" s="20">
        <f t="shared" si="0"/>
        <v>9250.5988000000016</v>
      </c>
    </row>
    <row r="13" spans="1:7" ht="18.600000000000001" x14ac:dyDescent="0.4">
      <c r="A13" s="19">
        <v>0.45833333333333331</v>
      </c>
      <c r="B13" s="22">
        <v>9302.77</v>
      </c>
      <c r="C13" s="22">
        <v>9337.9189999999999</v>
      </c>
      <c r="D13" s="22">
        <v>8948.857</v>
      </c>
      <c r="E13" s="22">
        <v>9008.6880000000001</v>
      </c>
      <c r="F13" s="22">
        <v>8903.8739999999998</v>
      </c>
      <c r="G13" s="20">
        <f t="shared" si="0"/>
        <v>9100.4215999999979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3EA89-948C-40FE-9BAB-F165781BA09C}">
  <dimension ref="A1:H14"/>
  <sheetViews>
    <sheetView workbookViewId="0">
      <selection activeCell="G1" sqref="G1:H5"/>
    </sheetView>
  </sheetViews>
  <sheetFormatPr defaultRowHeight="16.8" x14ac:dyDescent="0.4"/>
  <sheetData>
    <row r="1" spans="1:8" ht="18" x14ac:dyDescent="0.4">
      <c r="A1" s="1" t="s">
        <v>0</v>
      </c>
      <c r="B1" s="1" t="s">
        <v>1</v>
      </c>
      <c r="C1" s="5" t="s">
        <v>3</v>
      </c>
      <c r="D1" s="5" t="s">
        <v>2</v>
      </c>
      <c r="G1" s="13"/>
      <c r="H1" s="13"/>
    </row>
    <row r="2" spans="1:8" ht="18" x14ac:dyDescent="0.4">
      <c r="A2" s="2">
        <v>9752.42</v>
      </c>
      <c r="B2" s="11">
        <v>9652.027</v>
      </c>
      <c r="C2" s="11">
        <f>ABS(A2-B2)</f>
        <v>100.39300000000003</v>
      </c>
      <c r="D2" s="6">
        <f>C2/A2*100</f>
        <v>1.0294162884699392</v>
      </c>
      <c r="H2" s="13"/>
    </row>
    <row r="3" spans="1:8" ht="18" x14ac:dyDescent="0.4">
      <c r="A3" s="3">
        <v>9304.42</v>
      </c>
      <c r="B3" s="10">
        <v>9411.3760000000002</v>
      </c>
      <c r="C3" s="10">
        <f t="shared" ref="C3:C13" si="0">ABS(A3-B3)</f>
        <v>106.95600000000013</v>
      </c>
      <c r="D3" s="7">
        <f t="shared" ref="D3:D13" si="1">C3/A3*100</f>
        <v>1.1495181859804278</v>
      </c>
      <c r="H3" s="13"/>
    </row>
    <row r="4" spans="1:8" ht="18" x14ac:dyDescent="0.4">
      <c r="A4" s="3">
        <v>9199.42</v>
      </c>
      <c r="B4" s="10">
        <v>9772.2430000000004</v>
      </c>
      <c r="C4" s="10">
        <f t="shared" si="0"/>
        <v>572.82300000000032</v>
      </c>
      <c r="D4" s="7">
        <f t="shared" si="1"/>
        <v>6.226729511208319</v>
      </c>
    </row>
    <row r="5" spans="1:8" ht="18" x14ac:dyDescent="0.4">
      <c r="A5" s="3">
        <v>9209.42</v>
      </c>
      <c r="B5" s="10">
        <v>9600.6759999999995</v>
      </c>
      <c r="C5" s="10">
        <f t="shared" si="0"/>
        <v>391.2559999999994</v>
      </c>
      <c r="D5" s="7">
        <f t="shared" si="1"/>
        <v>4.2484325831594107</v>
      </c>
    </row>
    <row r="6" spans="1:8" ht="18" x14ac:dyDescent="0.4">
      <c r="A6" s="3">
        <v>9148.42</v>
      </c>
      <c r="B6" s="10">
        <v>9591.0390000000007</v>
      </c>
      <c r="C6" s="10">
        <f t="shared" si="0"/>
        <v>442.6190000000006</v>
      </c>
      <c r="D6" s="7">
        <f t="shared" si="1"/>
        <v>4.8382015692327265</v>
      </c>
    </row>
    <row r="7" spans="1:8" ht="18" x14ac:dyDescent="0.4">
      <c r="A7" s="3">
        <v>9472.42</v>
      </c>
      <c r="B7" s="10">
        <v>9326.59</v>
      </c>
      <c r="C7" s="10">
        <f t="shared" si="0"/>
        <v>145.82999999999993</v>
      </c>
      <c r="D7" s="7">
        <f t="shared" si="1"/>
        <v>1.5395221073389898</v>
      </c>
    </row>
    <row r="8" spans="1:8" ht="18" x14ac:dyDescent="0.4">
      <c r="A8" s="3">
        <v>9600.42</v>
      </c>
      <c r="B8" s="10">
        <v>9271.8960000000006</v>
      </c>
      <c r="C8" s="10">
        <f t="shared" si="0"/>
        <v>328.52399999999943</v>
      </c>
      <c r="D8" s="7">
        <f t="shared" si="1"/>
        <v>3.4219752885811188</v>
      </c>
    </row>
    <row r="9" spans="1:8" ht="18" x14ac:dyDescent="0.4">
      <c r="A9" s="3">
        <v>9814.42</v>
      </c>
      <c r="B9" s="10">
        <v>9265.2489999999998</v>
      </c>
      <c r="C9" s="10">
        <f t="shared" si="0"/>
        <v>549.17100000000028</v>
      </c>
      <c r="D9" s="7">
        <f t="shared" si="1"/>
        <v>5.5955522588191693</v>
      </c>
    </row>
    <row r="10" spans="1:8" ht="18" x14ac:dyDescent="0.4">
      <c r="A10" s="3">
        <v>9774.42</v>
      </c>
      <c r="B10" s="10">
        <v>9337.348</v>
      </c>
      <c r="C10" s="10">
        <f t="shared" si="0"/>
        <v>437.07200000000012</v>
      </c>
      <c r="D10" s="7">
        <f t="shared" si="1"/>
        <v>4.4715901301560619</v>
      </c>
    </row>
    <row r="11" spans="1:8" ht="18" x14ac:dyDescent="0.4">
      <c r="A11" s="3">
        <v>9804.42</v>
      </c>
      <c r="B11" s="10">
        <v>9350.2090000000007</v>
      </c>
      <c r="C11" s="10">
        <f t="shared" si="0"/>
        <v>454.21099999999933</v>
      </c>
      <c r="D11" s="7">
        <f t="shared" si="1"/>
        <v>4.6327166726843538</v>
      </c>
    </row>
    <row r="12" spans="1:8" ht="18" x14ac:dyDescent="0.4">
      <c r="A12" s="3">
        <v>9804.42</v>
      </c>
      <c r="B12" s="10">
        <v>9355.5159999999996</v>
      </c>
      <c r="C12" s="10">
        <f t="shared" si="0"/>
        <v>448.90400000000045</v>
      </c>
      <c r="D12" s="7">
        <f t="shared" si="1"/>
        <v>4.5785880245848354</v>
      </c>
    </row>
    <row r="13" spans="1:8" ht="18" x14ac:dyDescent="0.4">
      <c r="A13" s="4">
        <v>9039.42</v>
      </c>
      <c r="B13" s="12">
        <v>9269.8279999999995</v>
      </c>
      <c r="C13" s="12">
        <f t="shared" si="0"/>
        <v>230.40799999999945</v>
      </c>
      <c r="D13" s="8">
        <f t="shared" si="1"/>
        <v>2.5489245991446294</v>
      </c>
    </row>
    <row r="14" spans="1:8" ht="18" x14ac:dyDescent="0.4">
      <c r="A14" s="14" t="s">
        <v>4</v>
      </c>
      <c r="B14" s="15"/>
      <c r="C14" s="16"/>
      <c r="D14" s="9">
        <f>AVERAGE(D2:D13)</f>
        <v>3.6900972682799975</v>
      </c>
    </row>
  </sheetData>
  <mergeCells count="1">
    <mergeCell ref="A14:C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B49FB-43FC-4231-B88A-BF7377B72E50}">
  <dimension ref="A1:D14"/>
  <sheetViews>
    <sheetView workbookViewId="0">
      <selection activeCell="A2" sqref="A2:D13"/>
    </sheetView>
  </sheetViews>
  <sheetFormatPr defaultRowHeight="16.8" x14ac:dyDescent="0.4"/>
  <sheetData>
    <row r="1" spans="1:4" ht="18" x14ac:dyDescent="0.4">
      <c r="A1" s="1" t="s">
        <v>0</v>
      </c>
      <c r="B1" s="1" t="s">
        <v>1</v>
      </c>
      <c r="C1" s="5" t="s">
        <v>3</v>
      </c>
      <c r="D1" s="5" t="s">
        <v>2</v>
      </c>
    </row>
    <row r="2" spans="1:4" ht="18" x14ac:dyDescent="0.4">
      <c r="A2" s="2">
        <v>9752.42</v>
      </c>
      <c r="B2" s="11">
        <v>9625.2980000000007</v>
      </c>
      <c r="C2" s="11">
        <f>ABS(A2-B2)</f>
        <v>127.12199999999939</v>
      </c>
      <c r="D2" s="6">
        <f>C2/A2*100</f>
        <v>1.3034918512533236</v>
      </c>
    </row>
    <row r="3" spans="1:4" ht="18" x14ac:dyDescent="0.4">
      <c r="A3" s="3">
        <v>9304.42</v>
      </c>
      <c r="B3" s="10">
        <v>9667.0509999999995</v>
      </c>
      <c r="C3" s="10">
        <f t="shared" ref="C3:C13" si="0">ABS(A3-B3)</f>
        <v>362.6309999999994</v>
      </c>
      <c r="D3" s="7">
        <f t="shared" ref="D3:D13" si="1">C3/A3*100</f>
        <v>3.8974057490955847</v>
      </c>
    </row>
    <row r="4" spans="1:4" ht="18" x14ac:dyDescent="0.4">
      <c r="A4" s="3">
        <v>9199.42</v>
      </c>
      <c r="B4" s="10">
        <v>9613.7659999999996</v>
      </c>
      <c r="C4" s="10">
        <f t="shared" si="0"/>
        <v>414.34599999999955</v>
      </c>
      <c r="D4" s="7">
        <f t="shared" si="1"/>
        <v>4.5040448202169214</v>
      </c>
    </row>
    <row r="5" spans="1:4" ht="18" x14ac:dyDescent="0.4">
      <c r="A5" s="3">
        <v>9209.42</v>
      </c>
      <c r="B5" s="10">
        <v>9451.1980000000003</v>
      </c>
      <c r="C5" s="10">
        <f t="shared" si="0"/>
        <v>241.77800000000025</v>
      </c>
      <c r="D5" s="7">
        <f t="shared" si="1"/>
        <v>2.6253336257875115</v>
      </c>
    </row>
    <row r="6" spans="1:4" ht="18" x14ac:dyDescent="0.4">
      <c r="A6" s="3">
        <v>9148.42</v>
      </c>
      <c r="B6" s="10">
        <v>9401.9220000000005</v>
      </c>
      <c r="C6" s="10">
        <f t="shared" si="0"/>
        <v>253.50200000000041</v>
      </c>
      <c r="D6" s="7">
        <f t="shared" si="1"/>
        <v>2.7709921494640648</v>
      </c>
    </row>
    <row r="7" spans="1:4" ht="18" x14ac:dyDescent="0.4">
      <c r="A7" s="3">
        <v>9472.42</v>
      </c>
      <c r="B7" s="10">
        <v>9457.6260000000002</v>
      </c>
      <c r="C7" s="10">
        <f t="shared" si="0"/>
        <v>14.793999999999869</v>
      </c>
      <c r="D7" s="7">
        <f t="shared" si="1"/>
        <v>0.15617973020621836</v>
      </c>
    </row>
    <row r="8" spans="1:4" ht="18" x14ac:dyDescent="0.4">
      <c r="A8" s="3">
        <v>9600.42</v>
      </c>
      <c r="B8" s="10">
        <v>9443.8960000000006</v>
      </c>
      <c r="C8" s="10">
        <f t="shared" si="0"/>
        <v>156.52399999999943</v>
      </c>
      <c r="D8" s="7">
        <f t="shared" si="1"/>
        <v>1.6303870039019068</v>
      </c>
    </row>
    <row r="9" spans="1:4" ht="18" x14ac:dyDescent="0.4">
      <c r="A9" s="3">
        <v>9814.42</v>
      </c>
      <c r="B9" s="10">
        <v>9421.4529999999995</v>
      </c>
      <c r="C9" s="10">
        <f t="shared" si="0"/>
        <v>392.96700000000055</v>
      </c>
      <c r="D9" s="7">
        <f t="shared" si="1"/>
        <v>4.0039757825729954</v>
      </c>
    </row>
    <row r="10" spans="1:4" ht="18" x14ac:dyDescent="0.4">
      <c r="A10" s="3">
        <v>9774.42</v>
      </c>
      <c r="B10" s="10">
        <v>9648.8369999999995</v>
      </c>
      <c r="C10" s="10">
        <f t="shared" si="0"/>
        <v>125.58300000000054</v>
      </c>
      <c r="D10" s="7">
        <f t="shared" si="1"/>
        <v>1.2848128073072422</v>
      </c>
    </row>
    <row r="11" spans="1:4" ht="18" x14ac:dyDescent="0.4">
      <c r="A11" s="3">
        <v>9804.42</v>
      </c>
      <c r="B11" s="10">
        <v>9655.7350000000006</v>
      </c>
      <c r="C11" s="10">
        <f t="shared" si="0"/>
        <v>148.68499999999949</v>
      </c>
      <c r="D11" s="7">
        <f t="shared" si="1"/>
        <v>1.5165099006366465</v>
      </c>
    </row>
    <row r="12" spans="1:4" ht="18" x14ac:dyDescent="0.4">
      <c r="A12" s="3">
        <v>9804.42</v>
      </c>
      <c r="B12" s="10">
        <v>9544.2199999999993</v>
      </c>
      <c r="C12" s="10">
        <f t="shared" si="0"/>
        <v>260.20000000000073</v>
      </c>
      <c r="D12" s="7">
        <f t="shared" si="1"/>
        <v>2.6539050754659708</v>
      </c>
    </row>
    <row r="13" spans="1:4" ht="18" x14ac:dyDescent="0.4">
      <c r="A13" s="4">
        <v>9039.42</v>
      </c>
      <c r="B13" s="12">
        <v>9172.4339999999993</v>
      </c>
      <c r="C13" s="12">
        <f t="shared" si="0"/>
        <v>133.01399999999921</v>
      </c>
      <c r="D13" s="8">
        <f t="shared" si="1"/>
        <v>1.4714882149518356</v>
      </c>
    </row>
    <row r="14" spans="1:4" ht="18" x14ac:dyDescent="0.4">
      <c r="A14" s="14" t="s">
        <v>4</v>
      </c>
      <c r="B14" s="15"/>
      <c r="C14" s="16"/>
      <c r="D14" s="9">
        <f>AVERAGE(D2:D13)</f>
        <v>2.3182105592383517</v>
      </c>
    </row>
  </sheetData>
  <mergeCells count="1">
    <mergeCell ref="A14:C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B3464-8B85-43EA-8D55-A734061DC318}">
  <dimension ref="A1:D14"/>
  <sheetViews>
    <sheetView workbookViewId="0">
      <selection activeCell="F2" sqref="F2"/>
    </sheetView>
  </sheetViews>
  <sheetFormatPr defaultRowHeight="16.8" x14ac:dyDescent="0.4"/>
  <sheetData>
    <row r="1" spans="1:4" ht="18" x14ac:dyDescent="0.4">
      <c r="A1" s="1" t="s">
        <v>0</v>
      </c>
      <c r="B1" s="1" t="s">
        <v>1</v>
      </c>
      <c r="C1" s="5" t="s">
        <v>3</v>
      </c>
      <c r="D1" s="5" t="s">
        <v>2</v>
      </c>
    </row>
    <row r="2" spans="1:4" ht="18" x14ac:dyDescent="0.4">
      <c r="A2" s="2">
        <v>9752.42</v>
      </c>
      <c r="B2" s="11">
        <v>9579.482</v>
      </c>
      <c r="C2" s="11">
        <f>ABS(A2-B2)</f>
        <v>172.9380000000001</v>
      </c>
      <c r="D2" s="6">
        <f>C2/A2*100</f>
        <v>1.7732829390038587</v>
      </c>
    </row>
    <row r="3" spans="1:4" ht="18" x14ac:dyDescent="0.4">
      <c r="A3" s="3">
        <v>9304.42</v>
      </c>
      <c r="B3" s="10">
        <v>9726.9969999999994</v>
      </c>
      <c r="C3" s="10">
        <f t="shared" ref="C3:C13" si="0">ABS(A3-B3)</f>
        <v>422.57699999999932</v>
      </c>
      <c r="D3" s="7">
        <f t="shared" ref="D3:D13" si="1">C3/A3*100</f>
        <v>4.5416801907050548</v>
      </c>
    </row>
    <row r="4" spans="1:4" ht="18" x14ac:dyDescent="0.4">
      <c r="A4" s="3">
        <v>9199.42</v>
      </c>
      <c r="B4" s="10">
        <v>9734.5730000000003</v>
      </c>
      <c r="C4" s="10">
        <f t="shared" si="0"/>
        <v>535.15300000000025</v>
      </c>
      <c r="D4" s="7">
        <f t="shared" si="1"/>
        <v>5.8172471742783811</v>
      </c>
    </row>
    <row r="5" spans="1:4" ht="18" x14ac:dyDescent="0.4">
      <c r="A5" s="3">
        <v>9209.42</v>
      </c>
      <c r="B5" s="10">
        <v>9294.5229999999992</v>
      </c>
      <c r="C5" s="10">
        <f t="shared" si="0"/>
        <v>85.102999999999156</v>
      </c>
      <c r="D5" s="7">
        <f t="shared" si="1"/>
        <v>0.92408642455224288</v>
      </c>
    </row>
    <row r="6" spans="1:4" ht="18" x14ac:dyDescent="0.4">
      <c r="A6" s="3">
        <v>9148.42</v>
      </c>
      <c r="B6" s="10">
        <v>9306.2459999999992</v>
      </c>
      <c r="C6" s="10">
        <f t="shared" si="0"/>
        <v>157.82599999999911</v>
      </c>
      <c r="D6" s="7">
        <f t="shared" si="1"/>
        <v>1.7251722155301037</v>
      </c>
    </row>
    <row r="7" spans="1:4" ht="18" x14ac:dyDescent="0.4">
      <c r="A7" s="3">
        <v>9472.42</v>
      </c>
      <c r="B7" s="10">
        <v>9379.5169999999998</v>
      </c>
      <c r="C7" s="10">
        <f t="shared" si="0"/>
        <v>92.903000000000247</v>
      </c>
      <c r="D7" s="7">
        <f t="shared" si="1"/>
        <v>0.98077365657350757</v>
      </c>
    </row>
    <row r="8" spans="1:4" ht="18" x14ac:dyDescent="0.4">
      <c r="A8" s="3">
        <v>9600.42</v>
      </c>
      <c r="B8" s="10">
        <v>9222.1740000000009</v>
      </c>
      <c r="C8" s="10">
        <f t="shared" si="0"/>
        <v>378.24599999999919</v>
      </c>
      <c r="D8" s="7">
        <f t="shared" si="1"/>
        <v>3.9398901298068125</v>
      </c>
    </row>
    <row r="9" spans="1:4" ht="18" x14ac:dyDescent="0.4">
      <c r="A9" s="3">
        <v>9814.42</v>
      </c>
      <c r="B9" s="10">
        <v>9252.1749999999993</v>
      </c>
      <c r="C9" s="10">
        <f t="shared" si="0"/>
        <v>562.2450000000008</v>
      </c>
      <c r="D9" s="7">
        <f t="shared" si="1"/>
        <v>5.7287644099192905</v>
      </c>
    </row>
    <row r="10" spans="1:4" ht="18" x14ac:dyDescent="0.4">
      <c r="A10" s="3">
        <v>9774.42</v>
      </c>
      <c r="B10" s="10">
        <v>9240.9920000000002</v>
      </c>
      <c r="C10" s="10">
        <f t="shared" si="0"/>
        <v>533.42799999999988</v>
      </c>
      <c r="D10" s="7">
        <f t="shared" si="1"/>
        <v>5.4573877529306074</v>
      </c>
    </row>
    <row r="11" spans="1:4" ht="18" x14ac:dyDescent="0.4">
      <c r="A11" s="3">
        <v>9804.42</v>
      </c>
      <c r="B11" s="10">
        <v>9280.4390000000003</v>
      </c>
      <c r="C11" s="10">
        <f t="shared" si="0"/>
        <v>523.98099999999977</v>
      </c>
      <c r="D11" s="7">
        <f t="shared" si="1"/>
        <v>5.3443344940343209</v>
      </c>
    </row>
    <row r="12" spans="1:4" ht="18" x14ac:dyDescent="0.4">
      <c r="A12" s="3">
        <v>9804.42</v>
      </c>
      <c r="B12" s="10">
        <v>9330.9</v>
      </c>
      <c r="C12" s="10">
        <f t="shared" si="0"/>
        <v>473.52000000000044</v>
      </c>
      <c r="D12" s="7">
        <f t="shared" si="1"/>
        <v>4.8296584601638894</v>
      </c>
    </row>
    <row r="13" spans="1:4" ht="18" x14ac:dyDescent="0.4">
      <c r="A13" s="4">
        <v>9039.42</v>
      </c>
      <c r="B13" s="12">
        <v>9033.9879999999994</v>
      </c>
      <c r="C13" s="12">
        <f t="shared" si="0"/>
        <v>5.4320000000006985</v>
      </c>
      <c r="D13" s="8">
        <f t="shared" si="1"/>
        <v>6.009235105792958E-2</v>
      </c>
    </row>
    <row r="14" spans="1:4" ht="18" x14ac:dyDescent="0.4">
      <c r="A14" s="14" t="s">
        <v>4</v>
      </c>
      <c r="B14" s="15"/>
      <c r="C14" s="16"/>
      <c r="D14" s="9">
        <f>AVERAGE(D2:D13)</f>
        <v>3.4268641832130005</v>
      </c>
    </row>
  </sheetData>
  <mergeCells count="1">
    <mergeCell ref="A14:C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DF5B6-2A63-4965-8088-477C61225FF4}">
  <dimension ref="A1:D14"/>
  <sheetViews>
    <sheetView workbookViewId="0">
      <selection activeCell="F23" sqref="F23"/>
    </sheetView>
  </sheetViews>
  <sheetFormatPr defaultRowHeight="16.8" x14ac:dyDescent="0.4"/>
  <sheetData>
    <row r="1" spans="1:4" ht="18" x14ac:dyDescent="0.4">
      <c r="A1" s="1" t="s">
        <v>0</v>
      </c>
      <c r="B1" s="1" t="s">
        <v>1</v>
      </c>
      <c r="C1" s="5" t="s">
        <v>3</v>
      </c>
      <c r="D1" s="5" t="s">
        <v>2</v>
      </c>
    </row>
    <row r="2" spans="1:4" ht="18" x14ac:dyDescent="0.4">
      <c r="A2" s="2">
        <v>9752.42</v>
      </c>
      <c r="B2" s="11">
        <v>9406.2929999999997</v>
      </c>
      <c r="C2" s="11">
        <f>ABS(A2-B2)</f>
        <v>346.12700000000041</v>
      </c>
      <c r="D2" s="6">
        <f>C2/A2*100</f>
        <v>3.5491395981715348</v>
      </c>
    </row>
    <row r="3" spans="1:4" ht="18" x14ac:dyDescent="0.4">
      <c r="A3" s="3">
        <v>9304.42</v>
      </c>
      <c r="B3" s="10">
        <v>9578.09</v>
      </c>
      <c r="C3" s="10">
        <f t="shared" ref="C3:C13" si="0">ABS(A3-B3)</f>
        <v>273.67000000000007</v>
      </c>
      <c r="D3" s="7">
        <f t="shared" ref="D3:D13" si="1">C3/A3*100</f>
        <v>2.9412902684960489</v>
      </c>
    </row>
    <row r="4" spans="1:4" ht="18" x14ac:dyDescent="0.4">
      <c r="A4" s="3">
        <v>9199.42</v>
      </c>
      <c r="B4" s="10">
        <v>9496.6129999999994</v>
      </c>
      <c r="C4" s="10">
        <f t="shared" si="0"/>
        <v>297.1929999999993</v>
      </c>
      <c r="D4" s="7">
        <f t="shared" si="1"/>
        <v>3.2305623615401764</v>
      </c>
    </row>
    <row r="5" spans="1:4" ht="18" x14ac:dyDescent="0.4">
      <c r="A5" s="3">
        <v>9209.42</v>
      </c>
      <c r="B5" s="10">
        <v>9348.4490000000005</v>
      </c>
      <c r="C5" s="10">
        <f t="shared" si="0"/>
        <v>139.02900000000045</v>
      </c>
      <c r="D5" s="7">
        <f t="shared" si="1"/>
        <v>1.5096390435011158</v>
      </c>
    </row>
    <row r="6" spans="1:4" ht="18" x14ac:dyDescent="0.4">
      <c r="A6" s="3">
        <v>9148.42</v>
      </c>
      <c r="B6" s="10">
        <v>9134.6299999999992</v>
      </c>
      <c r="C6" s="10">
        <f t="shared" si="0"/>
        <v>13.790000000000873</v>
      </c>
      <c r="D6" s="7">
        <f t="shared" si="1"/>
        <v>0.15073641131475024</v>
      </c>
    </row>
    <row r="7" spans="1:4" ht="18" x14ac:dyDescent="0.4">
      <c r="A7" s="3">
        <v>9472.42</v>
      </c>
      <c r="B7" s="10">
        <v>9053.2099999999991</v>
      </c>
      <c r="C7" s="10">
        <f t="shared" si="0"/>
        <v>419.21000000000095</v>
      </c>
      <c r="D7" s="7">
        <f t="shared" si="1"/>
        <v>4.4255850141780133</v>
      </c>
    </row>
    <row r="8" spans="1:4" ht="18" x14ac:dyDescent="0.4">
      <c r="A8" s="3">
        <v>9600.42</v>
      </c>
      <c r="B8" s="10">
        <v>9008.02</v>
      </c>
      <c r="C8" s="10">
        <f t="shared" si="0"/>
        <v>592.39999999999964</v>
      </c>
      <c r="D8" s="7">
        <f t="shared" si="1"/>
        <v>6.1705633711858399</v>
      </c>
    </row>
    <row r="9" spans="1:4" ht="18" x14ac:dyDescent="0.4">
      <c r="A9" s="3">
        <v>9814.42</v>
      </c>
      <c r="B9" s="10">
        <v>8946.4580000000005</v>
      </c>
      <c r="C9" s="10">
        <f t="shared" si="0"/>
        <v>867.96199999999953</v>
      </c>
      <c r="D9" s="7">
        <f t="shared" si="1"/>
        <v>8.8437421671377372</v>
      </c>
    </row>
    <row r="10" spans="1:4" ht="18" x14ac:dyDescent="0.4">
      <c r="A10" s="3">
        <v>9774.42</v>
      </c>
      <c r="B10" s="10">
        <v>9116.7430000000004</v>
      </c>
      <c r="C10" s="10">
        <f t="shared" si="0"/>
        <v>657.67699999999968</v>
      </c>
      <c r="D10" s="7">
        <f t="shared" si="1"/>
        <v>6.7285526916175051</v>
      </c>
    </row>
    <row r="11" spans="1:4" ht="18" x14ac:dyDescent="0.4">
      <c r="A11" s="3">
        <v>9804.42</v>
      </c>
      <c r="B11" s="10">
        <v>9159.2569999999996</v>
      </c>
      <c r="C11" s="10">
        <f t="shared" si="0"/>
        <v>645.16300000000047</v>
      </c>
      <c r="D11" s="7">
        <f t="shared" si="1"/>
        <v>6.5803280561216315</v>
      </c>
    </row>
    <row r="12" spans="1:4" ht="18" x14ac:dyDescent="0.4">
      <c r="A12" s="3">
        <v>9804.42</v>
      </c>
      <c r="B12" s="10">
        <v>9172.8760000000002</v>
      </c>
      <c r="C12" s="10">
        <f t="shared" si="0"/>
        <v>631.54399999999987</v>
      </c>
      <c r="D12" s="7">
        <f t="shared" si="1"/>
        <v>6.4414213181401854</v>
      </c>
    </row>
    <row r="13" spans="1:4" ht="18" x14ac:dyDescent="0.4">
      <c r="A13" s="4">
        <v>9039.42</v>
      </c>
      <c r="B13" s="12">
        <v>9044.9639999999999</v>
      </c>
      <c r="C13" s="12">
        <f t="shared" si="0"/>
        <v>5.543999999999869</v>
      </c>
      <c r="D13" s="8">
        <f t="shared" si="1"/>
        <v>6.1331368605506434E-2</v>
      </c>
    </row>
    <row r="14" spans="1:4" ht="18" x14ac:dyDescent="0.4">
      <c r="A14" s="14" t="s">
        <v>4</v>
      </c>
      <c r="B14" s="15"/>
      <c r="C14" s="16"/>
      <c r="D14" s="9">
        <f>AVERAGE(D2:D13)</f>
        <v>4.2194076391675033</v>
      </c>
    </row>
  </sheetData>
  <mergeCells count="1">
    <mergeCell ref="A14:C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46DAE-468D-4823-9A23-B44F0566B639}">
  <dimension ref="A1:D14"/>
  <sheetViews>
    <sheetView workbookViewId="0">
      <selection activeCell="D14" sqref="D14"/>
    </sheetView>
  </sheetViews>
  <sheetFormatPr defaultRowHeight="16.8" x14ac:dyDescent="0.4"/>
  <sheetData>
    <row r="1" spans="1:4" ht="18" x14ac:dyDescent="0.4">
      <c r="A1" s="1" t="s">
        <v>0</v>
      </c>
      <c r="B1" s="1" t="s">
        <v>1</v>
      </c>
      <c r="C1" s="5" t="s">
        <v>3</v>
      </c>
      <c r="D1" s="5" t="s">
        <v>2</v>
      </c>
    </row>
    <row r="2" spans="1:4" ht="18" x14ac:dyDescent="0.4">
      <c r="A2" s="2">
        <v>9752.42</v>
      </c>
      <c r="B2" s="11">
        <v>9732.2839999999997</v>
      </c>
      <c r="C2" s="11">
        <f>ABS(A2-B2)</f>
        <v>20.136000000000422</v>
      </c>
      <c r="D2" s="6">
        <f>C2/A2*100</f>
        <v>0.20647182955615553</v>
      </c>
    </row>
    <row r="3" spans="1:4" ht="18" x14ac:dyDescent="0.4">
      <c r="A3" s="3">
        <v>9304.42</v>
      </c>
      <c r="B3" s="10">
        <v>9622.5519999999997</v>
      </c>
      <c r="C3" s="10">
        <f t="shared" ref="C3:C13" si="0">ABS(A3-B3)</f>
        <v>318.13199999999961</v>
      </c>
      <c r="D3" s="7">
        <f t="shared" ref="D3:D13" si="1">C3/A3*100</f>
        <v>3.4191491785624426</v>
      </c>
    </row>
    <row r="4" spans="1:4" ht="18" x14ac:dyDescent="0.4">
      <c r="A4" s="3">
        <v>9199.42</v>
      </c>
      <c r="B4" s="10">
        <v>9409.9920000000002</v>
      </c>
      <c r="C4" s="10">
        <f t="shared" si="0"/>
        <v>210.57200000000012</v>
      </c>
      <c r="D4" s="7">
        <f t="shared" si="1"/>
        <v>2.2889703916116466</v>
      </c>
    </row>
    <row r="5" spans="1:4" ht="18" x14ac:dyDescent="0.4">
      <c r="A5" s="3">
        <v>9209.42</v>
      </c>
      <c r="B5" s="10">
        <v>9296.61</v>
      </c>
      <c r="C5" s="10">
        <f t="shared" si="0"/>
        <v>87.190000000000509</v>
      </c>
      <c r="D5" s="7">
        <f t="shared" si="1"/>
        <v>0.94674800367450396</v>
      </c>
    </row>
    <row r="6" spans="1:4" ht="18" x14ac:dyDescent="0.4">
      <c r="A6" s="3">
        <v>9148.42</v>
      </c>
      <c r="B6" s="10">
        <v>9231.4794999999995</v>
      </c>
      <c r="C6" s="10">
        <f t="shared" si="0"/>
        <v>83.059499999999389</v>
      </c>
      <c r="D6" s="7">
        <f t="shared" si="1"/>
        <v>0.90791087422745553</v>
      </c>
    </row>
    <row r="7" spans="1:4" ht="18" x14ac:dyDescent="0.4">
      <c r="A7" s="3">
        <v>9472.42</v>
      </c>
      <c r="B7" s="10">
        <v>9295.1790000000001</v>
      </c>
      <c r="C7" s="10">
        <f t="shared" si="0"/>
        <v>177.24099999999999</v>
      </c>
      <c r="D7" s="7">
        <f t="shared" si="1"/>
        <v>1.8711269137137074</v>
      </c>
    </row>
    <row r="8" spans="1:4" ht="18" x14ac:dyDescent="0.4">
      <c r="A8" s="3">
        <v>9600.42</v>
      </c>
      <c r="B8" s="10">
        <v>8859.7819999999992</v>
      </c>
      <c r="C8" s="10">
        <f t="shared" si="0"/>
        <v>740.63800000000083</v>
      </c>
      <c r="D8" s="7">
        <f t="shared" si="1"/>
        <v>7.7146416510944391</v>
      </c>
    </row>
    <row r="9" spans="1:4" ht="18" x14ac:dyDescent="0.4">
      <c r="A9" s="3">
        <v>9814.42</v>
      </c>
      <c r="B9" s="10">
        <v>9138.9490000000005</v>
      </c>
      <c r="C9" s="10">
        <f t="shared" si="0"/>
        <v>675.47099999999955</v>
      </c>
      <c r="D9" s="7">
        <f t="shared" si="1"/>
        <v>6.8824342141461186</v>
      </c>
    </row>
    <row r="10" spans="1:4" ht="18" x14ac:dyDescent="0.4">
      <c r="A10" s="3">
        <v>9774.42</v>
      </c>
      <c r="B10" s="10">
        <v>9067.0859999999993</v>
      </c>
      <c r="C10" s="10">
        <f t="shared" si="0"/>
        <v>707.33400000000074</v>
      </c>
      <c r="D10" s="7">
        <f t="shared" si="1"/>
        <v>7.2365828356055983</v>
      </c>
    </row>
    <row r="11" spans="1:4" ht="18" x14ac:dyDescent="0.4">
      <c r="A11" s="3">
        <v>9804.42</v>
      </c>
      <c r="B11" s="10">
        <v>9312.598</v>
      </c>
      <c r="C11" s="10">
        <f t="shared" si="0"/>
        <v>491.82200000000012</v>
      </c>
      <c r="D11" s="7">
        <f t="shared" si="1"/>
        <v>5.0163293698148399</v>
      </c>
    </row>
    <row r="12" spans="1:4" ht="18" x14ac:dyDescent="0.4">
      <c r="A12" s="3">
        <v>9804.42</v>
      </c>
      <c r="B12" s="10">
        <v>9045.58</v>
      </c>
      <c r="C12" s="10">
        <f t="shared" si="0"/>
        <v>758.84000000000015</v>
      </c>
      <c r="D12" s="7">
        <f t="shared" si="1"/>
        <v>7.7397745098639197</v>
      </c>
    </row>
    <row r="13" spans="1:4" ht="18" x14ac:dyDescent="0.4">
      <c r="A13" s="4">
        <v>9039.42</v>
      </c>
      <c r="B13" s="12">
        <v>9019.2139999999999</v>
      </c>
      <c r="C13" s="12">
        <f t="shared" si="0"/>
        <v>20.206000000000131</v>
      </c>
      <c r="D13" s="8">
        <f t="shared" si="1"/>
        <v>0.22353204077252886</v>
      </c>
    </row>
    <row r="14" spans="1:4" ht="18" x14ac:dyDescent="0.4">
      <c r="A14" s="14" t="s">
        <v>4</v>
      </c>
      <c r="B14" s="15"/>
      <c r="C14" s="16"/>
      <c r="D14" s="9">
        <f>AVERAGE(D2:D13)</f>
        <v>3.7044726510536132</v>
      </c>
    </row>
  </sheetData>
  <mergeCells count="1">
    <mergeCell ref="A14: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predict_result</vt:lpstr>
      <vt:lpstr>650610196</vt:lpstr>
      <vt:lpstr>650610202</vt:lpstr>
      <vt:lpstr>650610240</vt:lpstr>
      <vt:lpstr>6506102121</vt:lpstr>
      <vt:lpstr>6506102126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SAKDINAN THAWANA</dc:creator>
  <cp:lastModifiedBy>SAKDINAN THAWANA</cp:lastModifiedBy>
  <dcterms:created xsi:type="dcterms:W3CDTF">2026-03-15T04:30:16Z</dcterms:created>
  <dcterms:modified xsi:type="dcterms:W3CDTF">2026-03-15T06:19:29Z</dcterms:modified>
</cp:coreProperties>
</file>